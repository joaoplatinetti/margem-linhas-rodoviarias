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Dicionario" sheetId="5" state="visible" r:id="rId5"/>
    <sheet name="Metodologia" sheetId="6" state="visible" r:id="rId6"/>
  </sheets>
  <definedNames>
    <definedName name="_xlnm.Print_Titles" localSheetId="0">'Resumo'!$1:$1</definedName>
    <definedName name="_xlnm._FilterDatabase" localSheetId="1" hidden="1">'Linhas'!$A$4:$AD$24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'Dicionario'!$1:$1</definedName>
    <definedName name="_xlnm.Print_Titles" localSheetId="5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1" customWidth="1" min="6" max="6"/>
    <col width="21" customWidth="1" min="7" max="7"/>
    <col width="21" customWidth="1" min="8" max="8"/>
    <col width="23" customWidth="1" min="9" max="9"/>
    <col width="23" customWidth="1" min="10" max="10"/>
    <col width="16" customWidth="1" min="11" max="11"/>
    <col width="39" customWidth="1" min="12" max="12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Yield (R$/pax-km)</t>
        </is>
      </c>
      <c r="G26" s="13" t="inlineStr">
        <is>
          <t>RASK</t>
        </is>
      </c>
      <c r="H26" s="13" t="inlineStr">
        <is>
          <t>CASK total</t>
        </is>
      </c>
      <c r="I26" s="13" t="inlineStr">
        <is>
          <t>Spread RASK-CASK</t>
        </is>
      </c>
      <c r="J26" s="13" t="inlineStr">
        <is>
          <t>MC %</t>
        </is>
      </c>
      <c r="K26" s="13" t="inlineStr">
        <is>
          <t>Classificacao</t>
        </is>
      </c>
      <c r="L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7" t="n">
        <v>0.1498863102301447</v>
      </c>
      <c r="G27" s="17" t="n">
        <v>0.09228854527452268</v>
      </c>
      <c r="H27" s="17" t="n">
        <v>0.1227606418297209</v>
      </c>
      <c r="I27" s="17" t="n">
        <v>-0.03047209655519827</v>
      </c>
      <c r="J27" s="16" t="n">
        <v>-0.0742708795506775</v>
      </c>
      <c r="K27" s="18" t="inlineStr">
        <is>
          <t>REVER</t>
        </is>
      </c>
      <c r="L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2" t="n">
        <v>0.1555329570108785</v>
      </c>
      <c r="G28" s="22" t="n">
        <v>0.07823428162211878</v>
      </c>
      <c r="H28" s="22" t="n">
        <v>0.1029070086567065</v>
      </c>
      <c r="I28" s="22" t="n">
        <v>-0.02467272703458773</v>
      </c>
      <c r="J28" s="21" t="n">
        <v>-0.01348490568976509</v>
      </c>
      <c r="K28" s="18" t="inlineStr">
        <is>
          <t>REVER</t>
        </is>
      </c>
      <c r="L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7" t="n">
        <v>0.3600245203798887</v>
      </c>
      <c r="G29" s="17" t="n">
        <v>0.2089583833774949</v>
      </c>
      <c r="H29" s="17" t="n">
        <v>0.2270133088532909</v>
      </c>
      <c r="I29" s="17" t="n">
        <v>-0.01805492547579593</v>
      </c>
      <c r="J29" s="16" t="n">
        <v>0.1135647946543504</v>
      </c>
      <c r="K29" s="23" t="inlineStr">
        <is>
          <t>AJUSTAR</t>
        </is>
      </c>
      <c r="L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2" t="n">
        <v>0.2196662309207528</v>
      </c>
      <c r="G30" s="22" t="n">
        <v>0.1234315011840421</v>
      </c>
      <c r="H30" s="22" t="n">
        <v>0.1386081947646007</v>
      </c>
      <c r="I30" s="22" t="n">
        <v>-0.01517669358055865</v>
      </c>
      <c r="J30" s="21" t="n">
        <v>0.08660966205257427</v>
      </c>
      <c r="K30" s="23" t="inlineStr">
        <is>
          <t>AJUSTAR</t>
        </is>
      </c>
      <c r="L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7" t="n">
        <v>0.2119141472408683</v>
      </c>
      <c r="G31" s="17" t="n">
        <v>0.1224623242274529</v>
      </c>
      <c r="H31" s="17" t="n">
        <v>0.1363212103070008</v>
      </c>
      <c r="I31" s="17" t="n">
        <v>-0.01385888607954795</v>
      </c>
      <c r="J31" s="16" t="n">
        <v>0.09805601993066369</v>
      </c>
      <c r="K31" s="23" t="inlineStr">
        <is>
          <t>AJUSTAR</t>
        </is>
      </c>
      <c r="L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2" t="n">
        <v>0.2226417045431627</v>
      </c>
      <c r="G32" s="22" t="n">
        <v>0.1327571964272048</v>
      </c>
      <c r="H32" s="22" t="n">
        <v>0.1390721740183619</v>
      </c>
      <c r="I32" s="22" t="n">
        <v>-0.006314977591157067</v>
      </c>
      <c r="J32" s="21" t="n">
        <v>0.1472769621518367</v>
      </c>
      <c r="K32" s="23" t="inlineStr">
        <is>
          <t>AJUSTAR</t>
        </is>
      </c>
      <c r="L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D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0" customWidth="1" min="14" max="14"/>
    <col width="21" customWidth="1" min="15" max="15"/>
    <col width="21" customWidth="1" min="16" max="16"/>
    <col width="21" customWidth="1" min="17" max="17"/>
    <col width="21" customWidth="1" min="18" max="18"/>
    <col width="23" customWidth="1" min="19" max="19"/>
    <col width="20" customWidth="1" min="20" max="20"/>
    <col width="20" customWidth="1" min="21" max="21"/>
    <col width="20" customWidth="1" min="22" max="22"/>
    <col width="23" customWidth="1" min="23" max="23"/>
    <col width="20" customWidth="1" min="24" max="24"/>
    <col width="20" customWidth="1" min="25" max="25"/>
    <col width="21" customWidth="1" min="26" max="26"/>
    <col width="16" customWidth="1" min="27" max="27"/>
    <col width="12" customWidth="1" min="28" max="28"/>
    <col width="41" customWidth="1" min="29" max="29"/>
    <col width="39" customWidth="1" min="30" max="30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Tarifa media</t>
        </is>
      </c>
      <c r="O4" s="13" t="inlineStr">
        <is>
          <t>Yield (R$/pax-km)</t>
        </is>
      </c>
      <c r="P4" s="13" t="inlineStr">
        <is>
          <t>RASK</t>
        </is>
      </c>
      <c r="Q4" s="13" t="inlineStr">
        <is>
          <t>CASK variavel</t>
        </is>
      </c>
      <c r="R4" s="13" t="inlineStr">
        <is>
          <t>CASK total</t>
        </is>
      </c>
      <c r="S4" s="13" t="inlineStr">
        <is>
          <t>Spread RASK-CASK</t>
        </is>
      </c>
      <c r="T4" s="13" t="inlineStr">
        <is>
          <t>Receita</t>
        </is>
      </c>
      <c r="U4" s="13" t="inlineStr">
        <is>
          <t>Custo variavel</t>
        </is>
      </c>
      <c r="V4" s="13" t="inlineStr">
        <is>
          <t>Margem contrib.</t>
        </is>
      </c>
      <c r="W4" s="13" t="inlineStr">
        <is>
          <t>MC %</t>
        </is>
      </c>
      <c r="X4" s="13" t="inlineStr">
        <is>
          <t>Fixo rateado</t>
        </is>
      </c>
      <c r="Y4" s="13" t="inlineStr">
        <is>
          <t>Custo total</t>
        </is>
      </c>
      <c r="Z4" s="13" t="inlineStr">
        <is>
          <t>Resultado</t>
        </is>
      </c>
      <c r="AA4" s="13" t="inlineStr">
        <is>
          <t>Classificacao</t>
        </is>
      </c>
      <c r="AB4" s="13" t="inlineStr">
        <is>
          <t>No limite</t>
        </is>
      </c>
      <c r="AC4" s="13" t="inlineStr">
        <is>
          <t>Motivo</t>
        </is>
      </c>
      <c r="AD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24" t="n">
        <v>105.3194950087037</v>
      </c>
      <c r="O5" s="17" t="n">
        <v>0.2581360171781953</v>
      </c>
      <c r="P5" s="17" t="n">
        <v>0.1895961056111942</v>
      </c>
      <c r="Q5" s="17" t="n">
        <v>0.09429017061370001</v>
      </c>
      <c r="R5" s="17" t="n">
        <v>0.1201572247984505</v>
      </c>
      <c r="S5" s="17" t="n">
        <v>0.06943888081274376</v>
      </c>
      <c r="T5" s="25" t="n">
        <v>5929276.93</v>
      </c>
      <c r="U5" s="25" t="n">
        <v>2948755.363636363</v>
      </c>
      <c r="V5" s="25" t="n">
        <v>2980521.566363636</v>
      </c>
      <c r="W5" s="16" t="n">
        <v>0.5026787585655299</v>
      </c>
      <c r="X5" s="25" t="n">
        <v>808945.5589305384</v>
      </c>
      <c r="Y5" s="25" t="n">
        <v>3757700.922566902</v>
      </c>
      <c r="Z5" s="25" t="n">
        <v>2171576.007433098</v>
      </c>
      <c r="AA5" s="26" t="inlineStr">
        <is>
          <t>MANTER</t>
        </is>
      </c>
      <c r="AB5" s="14" t="inlineStr">
        <is>
          <t>nao</t>
        </is>
      </c>
      <c r="AC5" s="14" t="inlineStr">
        <is>
          <t>cobre o custo cheio com folga</t>
        </is>
      </c>
      <c r="AD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7" t="n">
        <v>48.09530086040584</v>
      </c>
      <c r="O6" s="22" t="n">
        <v>0.2301210567483533</v>
      </c>
      <c r="P6" s="22" t="n">
        <v>0.1695889020638316</v>
      </c>
      <c r="Q6" s="22" t="n">
        <v>0.08869031512951658</v>
      </c>
      <c r="R6" s="22" t="n">
        <v>0.1133815941240511</v>
      </c>
      <c r="S6" s="22" t="n">
        <v>0.05620730793978049</v>
      </c>
      <c r="T6" s="28" t="n">
        <v>3415391.6</v>
      </c>
      <c r="U6" s="28" t="n">
        <v>1786155.542068966</v>
      </c>
      <c r="V6" s="28" t="n">
        <v>1629236.057931035</v>
      </c>
      <c r="W6" s="21" t="n">
        <v>0.4770275999774183</v>
      </c>
      <c r="X6" s="28" t="n">
        <v>497263.5935778898</v>
      </c>
      <c r="Y6" s="28" t="n">
        <v>2283419.135646855</v>
      </c>
      <c r="Z6" s="28" t="n">
        <v>1131972.464353145</v>
      </c>
      <c r="AA6" s="26" t="inlineStr">
        <is>
          <t>MANTER</t>
        </is>
      </c>
      <c r="AB6" s="19" t="inlineStr">
        <is>
          <t>nao</t>
        </is>
      </c>
      <c r="AC6" s="19" t="inlineStr">
        <is>
          <t>cobre o custo cheio com folga</t>
        </is>
      </c>
      <c r="AD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24" t="n">
        <v>120.7216023767158</v>
      </c>
      <c r="O7" s="17" t="n">
        <v>0.2536168117157895</v>
      </c>
      <c r="P7" s="17" t="n">
        <v>0.1735557359930273</v>
      </c>
      <c r="Q7" s="17" t="n">
        <v>0.0928490941831278</v>
      </c>
      <c r="R7" s="17" t="n">
        <v>0.1187161483678782</v>
      </c>
      <c r="S7" s="17" t="n">
        <v>0.05483958762514909</v>
      </c>
      <c r="T7" s="25" t="n">
        <v>3799350.27</v>
      </c>
      <c r="U7" s="25" t="n">
        <v>2032581.804545454</v>
      </c>
      <c r="V7" s="25" t="n">
        <v>1766768.465454546</v>
      </c>
      <c r="W7" s="16" t="n">
        <v>0.4650185794674165</v>
      </c>
      <c r="X7" s="25" t="n">
        <v>566261.8912513768</v>
      </c>
      <c r="Y7" s="25" t="n">
        <v>2598843.695796831</v>
      </c>
      <c r="Z7" s="25" t="n">
        <v>1200506.574203169</v>
      </c>
      <c r="AA7" s="26" t="inlineStr">
        <is>
          <t>MANTER</t>
        </is>
      </c>
      <c r="AB7" s="14" t="inlineStr">
        <is>
          <t>nao</t>
        </is>
      </c>
      <c r="AC7" s="14" t="inlineStr">
        <is>
          <t>cobre o custo cheio com folga</t>
        </is>
      </c>
      <c r="AD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7" t="n">
        <v>138.9413025826298</v>
      </c>
      <c r="O8" s="22" t="n">
        <v>0.2371011989464673</v>
      </c>
      <c r="P8" s="22" t="n">
        <v>0.17295241011735</v>
      </c>
      <c r="Q8" s="22" t="n">
        <v>0.09326625592837197</v>
      </c>
      <c r="R8" s="22" t="n">
        <v>0.1191333101131224</v>
      </c>
      <c r="S8" s="22" t="n">
        <v>0.05381910000422759</v>
      </c>
      <c r="T8" s="28" t="n">
        <v>7768486.109999999</v>
      </c>
      <c r="U8" s="28" t="n">
        <v>4189231.090909091</v>
      </c>
      <c r="V8" s="28" t="n">
        <v>3579255.019090909</v>
      </c>
      <c r="W8" s="21" t="n">
        <v>0.460740351261426</v>
      </c>
      <c r="X8" s="28" t="n">
        <v>1161867.886111018</v>
      </c>
      <c r="Y8" s="28" t="n">
        <v>5351098.977020109</v>
      </c>
      <c r="Z8" s="28" t="n">
        <v>2417387.13297989</v>
      </c>
      <c r="AA8" s="26" t="inlineStr">
        <is>
          <t>MANTER</t>
        </is>
      </c>
      <c r="AB8" s="19" t="inlineStr">
        <is>
          <t>nao</t>
        </is>
      </c>
      <c r="AC8" s="19" t="inlineStr">
        <is>
          <t>cobre o custo cheio com folga</t>
        </is>
      </c>
      <c r="AD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24" t="n">
        <v>68.98649947356107</v>
      </c>
      <c r="O9" s="17" t="n">
        <v>0.2299549982452036</v>
      </c>
      <c r="P9" s="17" t="n">
        <v>0.1631926380240764</v>
      </c>
      <c r="Q9" s="17" t="n">
        <v>0.08762931034482759</v>
      </c>
      <c r="R9" s="17" t="n">
        <v>0.1123205893393621</v>
      </c>
      <c r="S9" s="17" t="n">
        <v>0.05087204868471426</v>
      </c>
      <c r="T9" s="25" t="n">
        <v>2358786.39</v>
      </c>
      <c r="U9" s="25" t="n">
        <v>1266594.051724138</v>
      </c>
      <c r="V9" s="25" t="n">
        <v>1092192.338275862</v>
      </c>
      <c r="W9" s="16" t="n">
        <v>0.463031473687561</v>
      </c>
      <c r="X9" s="25" t="n">
        <v>356887.7465870022</v>
      </c>
      <c r="Y9" s="25" t="n">
        <v>1623481.79831114</v>
      </c>
      <c r="Z9" s="25" t="n">
        <v>735304.59168886</v>
      </c>
      <c r="AA9" s="26" t="inlineStr">
        <is>
          <t>MANTER</t>
        </is>
      </c>
      <c r="AB9" s="14" t="inlineStr">
        <is>
          <t>nao</t>
        </is>
      </c>
      <c r="AC9" s="14" t="inlineStr">
        <is>
          <t>cobre o custo cheio com folga</t>
        </is>
      </c>
      <c r="AD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7" t="n">
        <v>105.8746718765408</v>
      </c>
      <c r="O10" s="22" t="n">
        <v>0.2439508568583889</v>
      </c>
      <c r="P10" s="22" t="n">
        <v>0.1613767540378944</v>
      </c>
      <c r="Q10" s="22" t="n">
        <v>0.09408173239970474</v>
      </c>
      <c r="R10" s="22" t="n">
        <v>0.1199487865844552</v>
      </c>
      <c r="S10" s="22" t="n">
        <v>0.04142796745343923</v>
      </c>
      <c r="T10" s="28" t="n">
        <v>4294700.19</v>
      </c>
      <c r="U10" s="28" t="n">
        <v>2503785.854545454</v>
      </c>
      <c r="V10" s="28" t="n">
        <v>1790914.335454546</v>
      </c>
      <c r="W10" s="21" t="n">
        <v>0.4170056712281343</v>
      </c>
      <c r="X10" s="28" t="n">
        <v>688396.8089722621</v>
      </c>
      <c r="Y10" s="28" t="n">
        <v>3192182.663517717</v>
      </c>
      <c r="Z10" s="28" t="n">
        <v>1102517.526482284</v>
      </c>
      <c r="AA10" s="26" t="inlineStr">
        <is>
          <t>MANTER</t>
        </is>
      </c>
      <c r="AB10" s="19" t="inlineStr">
        <is>
          <t>nao</t>
        </is>
      </c>
      <c r="AC10" s="19" t="inlineStr">
        <is>
          <t>cobre o custo cheio com folga</t>
        </is>
      </c>
      <c r="AD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24" t="n">
        <v>51.10262707588816</v>
      </c>
      <c r="O11" s="17" t="n">
        <v>0.1980721979685588</v>
      </c>
      <c r="P11" s="17" t="n">
        <v>0.1402962247969675</v>
      </c>
      <c r="Q11" s="17" t="n">
        <v>0.08203201887428378</v>
      </c>
      <c r="R11" s="17" t="n">
        <v>0.1056497639994907</v>
      </c>
      <c r="S11" s="17" t="n">
        <v>0.0346464607974768</v>
      </c>
      <c r="T11" s="25" t="n">
        <v>2430951.97</v>
      </c>
      <c r="U11" s="25" t="n">
        <v>1421391.76</v>
      </c>
      <c r="V11" s="25" t="n">
        <v>1009560.21</v>
      </c>
      <c r="W11" s="16" t="n">
        <v>0.4152941820565874</v>
      </c>
      <c r="X11" s="25" t="n">
        <v>409231.2827530959</v>
      </c>
      <c r="Y11" s="25" t="n">
        <v>1830623.042753096</v>
      </c>
      <c r="Z11" s="25" t="n">
        <v>600328.9272469038</v>
      </c>
      <c r="AA11" s="26" t="inlineStr">
        <is>
          <t>MANTER</t>
        </is>
      </c>
      <c r="AB11" s="14" t="inlineStr">
        <is>
          <t>nao</t>
        </is>
      </c>
      <c r="AC11" s="14" t="inlineStr">
        <is>
          <t>cobre o custo cheio com folga</t>
        </is>
      </c>
      <c r="AD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7" t="n">
        <v>82.76112721209061</v>
      </c>
      <c r="O12" s="22" t="n">
        <v>0.1929163804477637</v>
      </c>
      <c r="P12" s="22" t="n">
        <v>0.1461321847517364</v>
      </c>
      <c r="Q12" s="22" t="n">
        <v>0.0872171467508458</v>
      </c>
      <c r="R12" s="22" t="n">
        <v>0.1119084257453803</v>
      </c>
      <c r="S12" s="22" t="n">
        <v>0.0342237590063561</v>
      </c>
      <c r="T12" s="28" t="n">
        <v>7047689.310000001</v>
      </c>
      <c r="U12" s="28" t="n">
        <v>4206324.252586206</v>
      </c>
      <c r="V12" s="28" t="n">
        <v>2841365.057413794</v>
      </c>
      <c r="W12" s="21" t="n">
        <v>0.4031626441565986</v>
      </c>
      <c r="X12" s="28" t="n">
        <v>1190815.447778631</v>
      </c>
      <c r="Y12" s="28" t="n">
        <v>5397139.700364837</v>
      </c>
      <c r="Z12" s="28" t="n">
        <v>1650549.609635163</v>
      </c>
      <c r="AA12" s="26" t="inlineStr">
        <is>
          <t>MANTER</t>
        </is>
      </c>
      <c r="AB12" s="19" t="inlineStr">
        <is>
          <t>nao</t>
        </is>
      </c>
      <c r="AC12" s="19" t="inlineStr">
        <is>
          <t>cobre o custo cheio com folga</t>
        </is>
      </c>
      <c r="AD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24" t="n">
        <v>76.88150248978549</v>
      </c>
      <c r="O13" s="17" t="n">
        <v>0.2159592766567008</v>
      </c>
      <c r="P13" s="17" t="n">
        <v>0.1404228355977817</v>
      </c>
      <c r="Q13" s="17" t="n">
        <v>0.08595425927230461</v>
      </c>
      <c r="R13" s="17" t="n">
        <v>0.1106455382668391</v>
      </c>
      <c r="S13" s="17" t="n">
        <v>0.02977729733094259</v>
      </c>
      <c r="T13" s="25" t="n">
        <v>2408543.71</v>
      </c>
      <c r="U13" s="25" t="n">
        <v>1474294.33137931</v>
      </c>
      <c r="V13" s="25" t="n">
        <v>934249.3786206895</v>
      </c>
      <c r="W13" s="16" t="n">
        <v>0.3878897338428164</v>
      </c>
      <c r="X13" s="25" t="n">
        <v>423506.792616576</v>
      </c>
      <c r="Y13" s="25" t="n">
        <v>1897801.123995886</v>
      </c>
      <c r="Z13" s="25" t="n">
        <v>510742.5860041135</v>
      </c>
      <c r="AA13" s="26" t="inlineStr">
        <is>
          <t>MANTER</t>
        </is>
      </c>
      <c r="AB13" s="14" t="inlineStr">
        <is>
          <t>nao</t>
        </is>
      </c>
      <c r="AC13" s="14" t="inlineStr">
        <is>
          <t>cobre o custo cheio com folga</t>
        </is>
      </c>
      <c r="AD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7" t="n">
        <v>114.6158760059745</v>
      </c>
      <c r="O14" s="22" t="n">
        <v>0.1949249591938342</v>
      </c>
      <c r="P14" s="22" t="n">
        <v>0.1361106614968528</v>
      </c>
      <c r="Q14" s="22" t="n">
        <v>0.08638626767321349</v>
      </c>
      <c r="R14" s="22" t="n">
        <v>0.111077546667748</v>
      </c>
      <c r="S14" s="22" t="n">
        <v>0.02503311482910475</v>
      </c>
      <c r="T14" s="28" t="n">
        <v>5141324.35</v>
      </c>
      <c r="U14" s="28" t="n">
        <v>3263078.855172414</v>
      </c>
      <c r="V14" s="28" t="n">
        <v>1878245.494827586</v>
      </c>
      <c r="W14" s="21" t="n">
        <v>0.3653232838398118</v>
      </c>
      <c r="X14" s="28" t="n">
        <v>932666.6444140326</v>
      </c>
      <c r="Y14" s="28" t="n">
        <v>4195745.499586446</v>
      </c>
      <c r="Z14" s="28" t="n">
        <v>945578.8504135534</v>
      </c>
      <c r="AA14" s="26" t="inlineStr">
        <is>
          <t>MANTER</t>
        </is>
      </c>
      <c r="AB14" s="19" t="inlineStr">
        <is>
          <t>nao</t>
        </is>
      </c>
      <c r="AC14" s="19" t="inlineStr">
        <is>
          <t>cobre o custo cheio com folga</t>
        </is>
      </c>
      <c r="AD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24" t="n">
        <v>93.70749208754958</v>
      </c>
      <c r="O15" s="17" t="n">
        <v>0.1745018474628484</v>
      </c>
      <c r="P15" s="17" t="n">
        <v>0.1165753408020869</v>
      </c>
      <c r="Q15" s="17" t="n">
        <v>0.07949291555339649</v>
      </c>
      <c r="R15" s="17" t="n">
        <v>0.1031106606786034</v>
      </c>
      <c r="S15" s="17" t="n">
        <v>0.01346468012348345</v>
      </c>
      <c r="T15" s="25" t="n">
        <v>2102140.17</v>
      </c>
      <c r="U15" s="25" t="n">
        <v>1433452.82</v>
      </c>
      <c r="V15" s="25" t="n">
        <v>668687.3499999999</v>
      </c>
      <c r="W15" s="16" t="n">
        <v>0.3180983644872739</v>
      </c>
      <c r="X15" s="25" t="n">
        <v>425886.0442604893</v>
      </c>
      <c r="Y15" s="25" t="n">
        <v>1859338.864260489</v>
      </c>
      <c r="Z15" s="25" t="n">
        <v>242801.3057395106</v>
      </c>
      <c r="AA15" s="26" t="inlineStr">
        <is>
          <t>MANTER</t>
        </is>
      </c>
      <c r="AB15" s="14" t="inlineStr">
        <is>
          <t>nao</t>
        </is>
      </c>
      <c r="AC15" s="14" t="inlineStr">
        <is>
          <t>cobre o custo cheio com folga</t>
        </is>
      </c>
      <c r="AD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7" t="n">
        <v>101.2643186418544</v>
      </c>
      <c r="O16" s="22" t="n">
        <v>0.1943652948979931</v>
      </c>
      <c r="P16" s="22" t="n">
        <v>0.1235659813766195</v>
      </c>
      <c r="Q16" s="22" t="n">
        <v>0.0866700536705997</v>
      </c>
      <c r="R16" s="22" t="n">
        <v>0.1113613326651342</v>
      </c>
      <c r="S16" s="22" t="n">
        <v>0.01220464871148527</v>
      </c>
      <c r="T16" s="28" t="n">
        <v>3101726.08</v>
      </c>
      <c r="U16" s="28" t="n">
        <v>2175572.619827586</v>
      </c>
      <c r="V16" s="28" t="n">
        <v>926153.4601724138</v>
      </c>
      <c r="W16" s="21" t="n">
        <v>0.298592924160606</v>
      </c>
      <c r="X16" s="28" t="n">
        <v>619795.0532394273</v>
      </c>
      <c r="Y16" s="28" t="n">
        <v>2795367.673067013</v>
      </c>
      <c r="Z16" s="28" t="n">
        <v>306358.4069329868</v>
      </c>
      <c r="AA16" s="26" t="inlineStr">
        <is>
          <t>MANTER</t>
        </is>
      </c>
      <c r="AB16" s="19" t="inlineStr">
        <is>
          <t>nao</t>
        </is>
      </c>
      <c r="AC16" s="19" t="inlineStr">
        <is>
          <t>cobre o custo cheio com folga</t>
        </is>
      </c>
      <c r="AD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24" t="n">
        <v>357.8761814413265</v>
      </c>
      <c r="O17" s="17" t="n">
        <v>0.352935090178823</v>
      </c>
      <c r="P17" s="17" t="n">
        <v>0.2332569953215572</v>
      </c>
      <c r="Q17" s="17" t="n">
        <v>0.1840070327630369</v>
      </c>
      <c r="R17" s="17" t="n">
        <v>0.2257922741384031</v>
      </c>
      <c r="S17" s="17" t="n">
        <v>0.007464721183154166</v>
      </c>
      <c r="T17" s="25" t="n">
        <v>4489198.82</v>
      </c>
      <c r="U17" s="25" t="n">
        <v>3541347.830588235</v>
      </c>
      <c r="V17" s="25" t="n">
        <v>947850.9894117652</v>
      </c>
      <c r="W17" s="16" t="n">
        <v>0.2111403453972585</v>
      </c>
      <c r="X17" s="25" t="n">
        <v>804187.0556427117</v>
      </c>
      <c r="Y17" s="25" t="n">
        <v>4345534.886230947</v>
      </c>
      <c r="Z17" s="25" t="n">
        <v>143663.9337690538</v>
      </c>
      <c r="AA17" s="26" t="inlineStr">
        <is>
          <t>MANTER</t>
        </is>
      </c>
      <c r="AB17" s="14" t="inlineStr">
        <is>
          <t>sim</t>
        </is>
      </c>
      <c r="AC17" s="14" t="inlineStr">
        <is>
          <t>cobre o custo cheio, com folga estreita</t>
        </is>
      </c>
      <c r="AD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7" t="n">
        <v>160.729158455823</v>
      </c>
      <c r="O18" s="22" t="n">
        <v>0.2315982110314452</v>
      </c>
      <c r="P18" s="22" t="n">
        <v>0.1402959417314753</v>
      </c>
      <c r="Q18" s="22" t="n">
        <v>0.1135943585713038</v>
      </c>
      <c r="R18" s="22" t="n">
        <v>0.1394614127560543</v>
      </c>
      <c r="S18" s="22" t="n">
        <v>0.000834528975420995</v>
      </c>
      <c r="T18" s="28" t="n">
        <v>2985222.66</v>
      </c>
      <c r="U18" s="28" t="n">
        <v>2417065.305454546</v>
      </c>
      <c r="V18" s="28" t="n">
        <v>568157.3545454545</v>
      </c>
      <c r="W18" s="21" t="n">
        <v>0.190323275432143</v>
      </c>
      <c r="X18" s="28" t="n">
        <v>550400.2136252879</v>
      </c>
      <c r="Y18" s="28" t="n">
        <v>2967465.519079833</v>
      </c>
      <c r="Z18" s="28" t="n">
        <v>17757.14092016686</v>
      </c>
      <c r="AA18" s="26" t="inlineStr">
        <is>
          <t>MANTER</t>
        </is>
      </c>
      <c r="AB18" s="19" t="inlineStr">
        <is>
          <t>sim</t>
        </is>
      </c>
      <c r="AC18" s="19" t="inlineStr">
        <is>
          <t>cobre o custo cheio, com folga estreita</t>
        </is>
      </c>
      <c r="AD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24" t="n">
        <v>159.4114604529045</v>
      </c>
      <c r="O19" s="17" t="n">
        <v>0.2226417045431627</v>
      </c>
      <c r="P19" s="17" t="n">
        <v>0.1327571964272048</v>
      </c>
      <c r="Q19" s="17" t="n">
        <v>0.1132051198336115</v>
      </c>
      <c r="R19" s="17" t="n">
        <v>0.1390721740183619</v>
      </c>
      <c r="S19" s="17" t="n">
        <v>-0.006314977591157067</v>
      </c>
      <c r="T19" s="25" t="n">
        <v>2914360.32</v>
      </c>
      <c r="U19" s="25" t="n">
        <v>2485142.185454546</v>
      </c>
      <c r="V19" s="25" t="n">
        <v>429218.1345454548</v>
      </c>
      <c r="W19" s="16" t="n">
        <v>0.1472769621518367</v>
      </c>
      <c r="X19" s="25" t="n">
        <v>567848.0590139858</v>
      </c>
      <c r="Y19" s="25" t="n">
        <v>3052990.244468531</v>
      </c>
      <c r="Z19" s="25" t="n">
        <v>-138629.9244685308</v>
      </c>
      <c r="AA19" s="23" t="inlineStr">
        <is>
          <t>AJUSTAR</t>
        </is>
      </c>
      <c r="AB19" s="14" t="inlineStr">
        <is>
          <t>sim</t>
        </is>
      </c>
      <c r="AC19" s="14" t="inlineStr">
        <is>
          <t>cobre o variavel, nao o fixo rateado</t>
        </is>
      </c>
      <c r="AD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7" t="n">
        <v>197.927813522971</v>
      </c>
      <c r="O20" s="22" t="n">
        <v>0.2119141472408683</v>
      </c>
      <c r="P20" s="22" t="n">
        <v>0.1224623242274529</v>
      </c>
      <c r="Q20" s="22" t="n">
        <v>0.1104541561222503</v>
      </c>
      <c r="R20" s="22" t="n">
        <v>0.1363212103070008</v>
      </c>
      <c r="S20" s="22" t="n">
        <v>-0.01385888607954795</v>
      </c>
      <c r="T20" s="28" t="n">
        <v>1753442.5</v>
      </c>
      <c r="U20" s="28" t="n">
        <v>1581506.907272727</v>
      </c>
      <c r="V20" s="28" t="n">
        <v>171935.5927272728</v>
      </c>
      <c r="W20" s="21" t="n">
        <v>0.09805601993066369</v>
      </c>
      <c r="X20" s="28" t="n">
        <v>370370.1725691779</v>
      </c>
      <c r="Y20" s="28" t="n">
        <v>1951877.079841905</v>
      </c>
      <c r="Z20" s="28" t="n">
        <v>-198434.5798419053</v>
      </c>
      <c r="AA20" s="23" t="inlineStr">
        <is>
          <t>AJUSTAR</t>
        </is>
      </c>
      <c r="AB20" s="19" t="inlineStr">
        <is>
          <t>nao</t>
        </is>
      </c>
      <c r="AC20" s="19" t="inlineStr">
        <is>
          <t>cobre o variavel, nao o fixo rateado</t>
        </is>
      </c>
      <c r="AD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24" t="n">
        <v>177.0509821221268</v>
      </c>
      <c r="O21" s="17" t="n">
        <v>0.2196662309207528</v>
      </c>
      <c r="P21" s="17" t="n">
        <v>0.1234315011840421</v>
      </c>
      <c r="Q21" s="17" t="n">
        <v>0.1127411405798503</v>
      </c>
      <c r="R21" s="17" t="n">
        <v>0.1386081947646007</v>
      </c>
      <c r="S21" s="17" t="n">
        <v>-0.01517669358055865</v>
      </c>
      <c r="T21" s="25" t="n">
        <v>1525117.16</v>
      </c>
      <c r="U21" s="25" t="n">
        <v>1393027.278181818</v>
      </c>
      <c r="V21" s="25" t="n">
        <v>132089.8818181818</v>
      </c>
      <c r="W21" s="16" t="n">
        <v>0.08660966205257427</v>
      </c>
      <c r="X21" s="25" t="n">
        <v>319612.8041656931</v>
      </c>
      <c r="Y21" s="25" t="n">
        <v>1712640.082347511</v>
      </c>
      <c r="Z21" s="25" t="n">
        <v>-187522.9223475112</v>
      </c>
      <c r="AA21" s="23" t="inlineStr">
        <is>
          <t>AJUSTAR</t>
        </is>
      </c>
      <c r="AB21" s="14" t="inlineStr">
        <is>
          <t>nao</t>
        </is>
      </c>
      <c r="AC21" s="14" t="inlineStr">
        <is>
          <t>cobre o variavel, nao o fixo rateado</t>
        </is>
      </c>
      <c r="AD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7" t="n">
        <v>370.8252559912854</v>
      </c>
      <c r="O22" s="22" t="n">
        <v>0.3600245203798887</v>
      </c>
      <c r="P22" s="22" t="n">
        <v>0.2089583833774949</v>
      </c>
      <c r="Q22" s="22" t="n">
        <v>0.1852280674779247</v>
      </c>
      <c r="R22" s="22" t="n">
        <v>0.2270133088532909</v>
      </c>
      <c r="S22" s="22" t="n">
        <v>-0.01805492547579593</v>
      </c>
      <c r="T22" s="28" t="n">
        <v>2042505.51</v>
      </c>
      <c r="U22" s="28" t="n">
        <v>1810548.791176471</v>
      </c>
      <c r="V22" s="28" t="n">
        <v>231956.7188235293</v>
      </c>
      <c r="W22" s="21" t="n">
        <v>0.1135647946543504</v>
      </c>
      <c r="X22" s="28" t="n">
        <v>408438.1988717915</v>
      </c>
      <c r="Y22" s="28" t="n">
        <v>2218986.990048262</v>
      </c>
      <c r="Z22" s="28" t="n">
        <v>-176481.4800482623</v>
      </c>
      <c r="AA22" s="23" t="inlineStr">
        <is>
          <t>AJUSTAR</t>
        </is>
      </c>
      <c r="AB22" s="19" t="inlineStr">
        <is>
          <t>nao</t>
        </is>
      </c>
      <c r="AC22" s="19" t="inlineStr">
        <is>
          <t>cobre o variavel, nao o fixo rateado</t>
        </is>
      </c>
      <c r="AD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24" t="n">
        <v>91.45337872239655</v>
      </c>
      <c r="O23" s="17" t="n">
        <v>0.1555329570108785</v>
      </c>
      <c r="P23" s="17" t="n">
        <v>0.07823428162211878</v>
      </c>
      <c r="Q23" s="17" t="n">
        <v>0.07928926353149957</v>
      </c>
      <c r="R23" s="17" t="n">
        <v>0.1029070086567065</v>
      </c>
      <c r="S23" s="17" t="n">
        <v>-0.02467272703458773</v>
      </c>
      <c r="T23" s="25" t="n">
        <v>1544739.02</v>
      </c>
      <c r="U23" s="25" t="n">
        <v>1565569.68</v>
      </c>
      <c r="V23" s="25" t="n">
        <v>-20830.66000000015</v>
      </c>
      <c r="W23" s="16" t="n">
        <v>-0.01348490568976509</v>
      </c>
      <c r="X23" s="25" t="n">
        <v>466333.3222070163</v>
      </c>
      <c r="Y23" s="25" t="n">
        <v>2031903.002207016</v>
      </c>
      <c r="Z23" s="25" t="n">
        <v>-487163.9822070161</v>
      </c>
      <c r="AA23" s="18" t="inlineStr">
        <is>
          <t>REVER</t>
        </is>
      </c>
      <c r="AB23" s="14" t="inlineStr">
        <is>
          <t>nao</t>
        </is>
      </c>
      <c r="AC23" s="14" t="inlineStr">
        <is>
          <t>receita nao cobre o custo variavel</t>
        </is>
      </c>
      <c r="AD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7" t="n">
        <v>117.6607535306636</v>
      </c>
      <c r="O24" s="22" t="n">
        <v>0.1498863102301447</v>
      </c>
      <c r="P24" s="22" t="n">
        <v>0.09228854527452268</v>
      </c>
      <c r="Q24" s="22" t="n">
        <v>0.099142896704514</v>
      </c>
      <c r="R24" s="22" t="n">
        <v>0.1227606418297209</v>
      </c>
      <c r="S24" s="22" t="n">
        <v>-0.03047209655519827</v>
      </c>
      <c r="T24" s="28" t="n">
        <v>1216376.87</v>
      </c>
      <c r="U24" s="28" t="n">
        <v>1306718.25</v>
      </c>
      <c r="V24" s="28" t="n">
        <v>-90341.38000000012</v>
      </c>
      <c r="W24" s="21" t="n">
        <v>-0.0742708795506775</v>
      </c>
      <c r="X24" s="28" t="n">
        <v>311285.4234119964</v>
      </c>
      <c r="Y24" s="28" t="n">
        <v>1618003.673411997</v>
      </c>
      <c r="Z24" s="28" t="n">
        <v>-401626.8034119965</v>
      </c>
      <c r="AA24" s="18" t="inlineStr">
        <is>
          <t>REVER</t>
        </is>
      </c>
      <c r="AB24" s="19" t="inlineStr">
        <is>
          <t>nao</t>
        </is>
      </c>
      <c r="AC24" s="19" t="inlineStr">
        <is>
          <t>receita nao cobre o custo variavel</t>
        </is>
      </c>
      <c r="AD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2" t="n">
        <v>104.8627645825493</v>
      </c>
      <c r="O25" s="33" t="n">
        <v>0.223544735894332</v>
      </c>
      <c r="P25" s="33" t="n">
        <v>0.1501240551871734</v>
      </c>
      <c r="Q25" s="33" t="n">
        <v>0.09851978378168719</v>
      </c>
      <c r="R25" s="33" t="n">
        <v>0.1246438687432807</v>
      </c>
      <c r="S25" s="33" t="n">
        <v>0.02548018644389274</v>
      </c>
      <c r="T25" s="34" t="n">
        <v>68269329.94</v>
      </c>
      <c r="U25" s="34" t="n">
        <v>44802144.57452332</v>
      </c>
      <c r="V25" s="34" t="n">
        <v>23467185.36547668</v>
      </c>
      <c r="W25" s="31" t="n">
        <v>0.3437441877062706</v>
      </c>
      <c r="X25" s="34" t="n">
        <v>11880000</v>
      </c>
      <c r="Y25" s="34" t="n">
        <v>56682144.57452332</v>
      </c>
      <c r="Z25" s="34" t="n">
        <v>11587185.36547668</v>
      </c>
      <c r="AA25" s="29" t="n"/>
      <c r="AB25" s="29" t="n"/>
      <c r="AC25" s="29" t="n"/>
      <c r="AD25" s="29" t="n"/>
    </row>
  </sheetData>
  <autoFilter ref="A4:AD24"/>
  <conditionalFormatting sqref="W5:W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5:S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3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(R$/km rodado)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38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39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38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39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38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39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38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39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38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39" t="inlineStr">
        <is>
          <t>A margem em percentual da receita, comparavel entre linhas.</t>
        </is>
      </c>
    </row>
    <row r="15">
      <c r="A15" s="14" t="inlineStr">
        <is>
          <t>Spread RASK-CASK</t>
        </is>
      </c>
      <c r="B15" s="14" t="inlineStr">
        <is>
          <t>RASK - CASK total</t>
        </is>
      </c>
      <c r="C15" s="14" t="inlineStr">
        <is>
          <t>R$ por assento-km</t>
        </is>
      </c>
      <c r="D15" s="38" t="inlineStr">
        <is>
          <t>O resultado por assento oferecido. Positivo: a linha cobre o custo cheio. E o que classifica.</t>
        </is>
      </c>
    </row>
    <row r="16">
      <c r="A16" s="19" t="inlineStr">
        <is>
          <t>Resultado</t>
        </is>
      </c>
      <c r="B16" s="19" t="inlineStr">
        <is>
          <t>receita - custo total</t>
        </is>
      </c>
      <c r="C16" s="19" t="inlineStr">
        <is>
          <t>R$</t>
        </is>
      </c>
      <c r="D16" s="39" t="inlineStr">
        <is>
          <t>O mesmo spread, em reais.</t>
        </is>
      </c>
    </row>
    <row r="17">
      <c r="A17" s="14" t="inlineStr">
        <is>
          <t>MANTER</t>
        </is>
      </c>
      <c r="B17" s="14" t="inlineStr">
        <is>
          <t>spread &gt;= 0</t>
        </is>
      </c>
      <c r="C17" s="14" t="inlineStr">
        <is>
          <t>-</t>
        </is>
      </c>
      <c r="D17" s="38" t="inlineStr">
        <is>
          <t>Cobre o custo cheio. Acompanhar.</t>
        </is>
      </c>
    </row>
    <row r="18">
      <c r="A18" s="19" t="inlineStr">
        <is>
          <t>AJUSTAR</t>
        </is>
      </c>
      <c r="B18" s="19" t="inlineStr">
        <is>
          <t>MC &gt; 0 e spread &lt; 0</t>
        </is>
      </c>
      <c r="C18" s="19" t="inlineStr">
        <is>
          <t>-</t>
        </is>
      </c>
      <c r="D18" s="39" t="inlineStr">
        <is>
          <t>Contribui para o fixo mas nao o cobre. Mexer em frequencia, classe, horario ou preco — nao na existencia da linha.</t>
        </is>
      </c>
    </row>
    <row r="19">
      <c r="A19" s="14" t="inlineStr">
        <is>
          <t>REVER</t>
        </is>
      </c>
      <c r="B19" s="14" t="inlineStr">
        <is>
          <t>MC &lt;= 0</t>
        </is>
      </c>
      <c r="C19" s="14" t="inlineStr">
        <is>
          <t>-</t>
        </is>
      </c>
      <c r="D19" s="38" t="inlineStr">
        <is>
          <t>Nao cobre nem o variavel. Volume nao resolve: vender mais assento com MC negativa piora o resultado.</t>
        </is>
      </c>
    </row>
    <row r="20">
      <c r="A20" s="19" t="inlineStr">
        <is>
          <t>No limite</t>
        </is>
      </c>
      <c r="B20" s="19" t="inlineStr">
        <is>
          <t>|spread| &lt; R$ 0.010/ASK</t>
        </is>
      </c>
      <c r="C20" s="19" t="inlineStr">
        <is>
          <t>-</t>
        </is>
      </c>
      <c r="D20" s="39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0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0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0" t="inlineStr">
        <is>
          <t>passageiros = ocupacao base x sazonalidade^amplitude x tendencia x ruido, cortado no teto de oferta.</t>
        </is>
      </c>
    </row>
    <row r="10" ht="56" customHeight="1">
      <c r="B10" s="40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0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0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0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0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0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0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0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0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0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0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0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0" t="inlineStr">
        <is>
          <t>A linha e medida em um sentido. Sentido de volta com ocupacao diferente (o classico vazio do retorno de feriado) nao esta modelado.</t>
        </is>
      </c>
    </row>
    <row r="31" ht="42" customHeight="1">
      <c r="B31" s="40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margem-linhas-rodoviarias</dc:creator>
  <dc:title>Margem por linha rodoviaria</dc:title>
  <dc:description>Dataset sintetico. Cidades e distancias reais; operacao, demanda, tarifa e custo gerados por codigo a partir de premissas declaradas.</dc:description>
  <dcterms:created xsi:type="dcterms:W3CDTF">2026-09-30T23:59:59Z</dcterms:created>
  <dcterms:modified xsi:type="dcterms:W3CDTF">2026-09-24T14:50:14Z</dcterms:modified>
  <cp:lastModifiedBy>margem-linhas-rodoviarias</cp:lastModifiedBy>
</cp:coreProperties>
</file>